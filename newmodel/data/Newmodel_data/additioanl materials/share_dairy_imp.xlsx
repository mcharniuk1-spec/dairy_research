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tapple/Documents/KSE/Master Thesis/Newmodel_data/additioanl materials/"/>
    </mc:Choice>
  </mc:AlternateContent>
  <xr:revisionPtr revIDLastSave="0" documentId="13_ncr:1_{BA5FD711-6298-3343-AAF4-5FC3283B6DCC}" xr6:coauthVersionLast="47" xr6:coauthVersionMax="47" xr10:uidLastSave="{00000000-0000-0000-0000-000000000000}"/>
  <bookViews>
    <workbookView xWindow="0" yWindow="660" windowWidth="30240" windowHeight="18980" xr2:uid="{E67A40C2-9200-F94F-B6DB-021DC59B1515}"/>
  </bookViews>
  <sheets>
    <sheet name="Trade_Map_-_List_of_products_im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2" l="1"/>
  <c r="C32" i="2"/>
  <c r="D32" i="2"/>
  <c r="E32" i="2"/>
  <c r="F32" i="2"/>
  <c r="G32" i="2"/>
  <c r="H32" i="2"/>
  <c r="I32" i="2"/>
  <c r="J32" i="2"/>
  <c r="K32" i="2"/>
  <c r="D31" i="2"/>
  <c r="E31" i="2"/>
  <c r="F31" i="2"/>
  <c r="G31" i="2"/>
  <c r="H31" i="2"/>
  <c r="I31" i="2"/>
  <c r="J31" i="2"/>
  <c r="K31" i="2"/>
  <c r="L31" i="2"/>
  <c r="C31" i="2"/>
</calcChain>
</file>

<file path=xl/sharedStrings.xml><?xml version="1.0" encoding="utf-8"?>
<sst xmlns="http://schemas.openxmlformats.org/spreadsheetml/2006/main" count="43" uniqueCount="42">
  <si>
    <t xml:space="preserve">List of products imported by Ukraine </t>
  </si>
  <si>
    <t>detailed products in the following category: 04 Dairy produce; birds' eggs; natural honey; edible products of animal origin, not elsewhere ...</t>
  </si>
  <si>
    <t>Sources: ITC calculations based on State Statistics Service of Ukraine statistics since January, 2016.</t>
  </si>
  <si>
    <t>               ITC calculations based on UN COMTRADE statistics until January, 2016.</t>
  </si>
  <si>
    <t>Code</t>
  </si>
  <si>
    <t>Product label</t>
  </si>
  <si>
    <t>'0406</t>
  </si>
  <si>
    <t>'0407</t>
  </si>
  <si>
    <t>'0405</t>
  </si>
  <si>
    <t>'0403</t>
  </si>
  <si>
    <t>'0404</t>
  </si>
  <si>
    <t>'0402</t>
  </si>
  <si>
    <t>'0401</t>
  </si>
  <si>
    <t>'0408</t>
  </si>
  <si>
    <t>'0409</t>
  </si>
  <si>
    <t>'0410</t>
  </si>
  <si>
    <t>'05</t>
  </si>
  <si>
    <t>'01</t>
  </si>
  <si>
    <t>'02</t>
  </si>
  <si>
    <t>'04</t>
  </si>
  <si>
    <t>'03</t>
  </si>
  <si>
    <t>'TOTAL</t>
  </si>
  <si>
    <t>Cheese</t>
  </si>
  <si>
    <t>Shell Eggs</t>
  </si>
  <si>
    <t>Butter &amp; Fats</t>
  </si>
  <si>
    <t>Fermented Dairy</t>
  </si>
  <si>
    <t>Whey</t>
  </si>
  <si>
    <t>Cond. Milk</t>
  </si>
  <si>
    <t>Fresh Milk</t>
  </si>
  <si>
    <t>Egg Products</t>
  </si>
  <si>
    <t>Honey</t>
  </si>
  <si>
    <t>Other Animal</t>
  </si>
  <si>
    <t>Live Animals</t>
  </si>
  <si>
    <t>Meat &amp; Offal</t>
  </si>
  <si>
    <t>Seafood</t>
  </si>
  <si>
    <t>Dairy &amp; Eggs</t>
  </si>
  <si>
    <t>Animal Origin</t>
  </si>
  <si>
    <t>All Products</t>
  </si>
  <si>
    <t>Share of dairy in animal-origin products</t>
  </si>
  <si>
    <t>All Dairy</t>
  </si>
  <si>
    <t>Dairy imports</t>
  </si>
  <si>
    <t>euro mln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</si>
</sst>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20" fillId="0" borderId="0" xfId="43" applyAlignment="1">
      <alignment wrapText="1"/>
    </xf>
    <xf numFmtId="0" fontId="16" fillId="0" borderId="0" xfId="0" applyFont="1"/>
    <xf numFmtId="0" fontId="21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left" wrapText="1"/>
    </xf>
    <xf numFmtId="0" fontId="0" fillId="0" borderId="10" xfId="0" applyBorder="1"/>
    <xf numFmtId="0" fontId="22" fillId="34" borderId="10" xfId="0" applyFont="1" applyFill="1" applyBorder="1" applyAlignment="1">
      <alignment horizontal="right" wrapText="1"/>
    </xf>
    <xf numFmtId="0" fontId="22" fillId="35" borderId="10" xfId="0" applyFont="1" applyFill="1" applyBorder="1" applyAlignment="1">
      <alignment horizontal="left" wrapText="1"/>
    </xf>
    <xf numFmtId="0" fontId="22" fillId="35" borderId="10" xfId="0" applyFont="1" applyFill="1" applyBorder="1" applyAlignment="1">
      <alignment horizontal="right" wrapText="1"/>
    </xf>
    <xf numFmtId="9" fontId="0" fillId="0" borderId="10" xfId="1" applyFont="1" applyBorder="1"/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'Trade_Map_-_List_of_products_im'!$A$31</c:f>
              <c:strCache>
                <c:ptCount val="1"/>
                <c:pt idx="0">
                  <c:v>Dairy imports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'Trade_Map_-_List_of_products_im'!$C$14:$L$14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'Trade_Map_-_List_of_products_im'!$C$31:$L$31</c:f>
              <c:numCache>
                <c:formatCode>General</c:formatCode>
                <c:ptCount val="10"/>
                <c:pt idx="0">
                  <c:v>30.827999999999999</c:v>
                </c:pt>
                <c:pt idx="1">
                  <c:v>38.307000000000002</c:v>
                </c:pt>
                <c:pt idx="2">
                  <c:v>57.363</c:v>
                </c:pt>
                <c:pt idx="3">
                  <c:v>78.74799999999999</c:v>
                </c:pt>
                <c:pt idx="4">
                  <c:v>132.881</c:v>
                </c:pt>
                <c:pt idx="5">
                  <c:v>260.61</c:v>
                </c:pt>
                <c:pt idx="6">
                  <c:v>314.81100000000004</c:v>
                </c:pt>
                <c:pt idx="7">
                  <c:v>212.71600000000004</c:v>
                </c:pt>
                <c:pt idx="8">
                  <c:v>238.535</c:v>
                </c:pt>
                <c:pt idx="9">
                  <c:v>261.17899999999997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4-7944-A145-07DBFA4B1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2293759"/>
        <c:axId val="182301823"/>
      </c:barChart>
      <c:lineChart>
        <c:grouping val="standard"/>
        <c:varyColors val="0"/>
        <c:ser>
          <c:idx val="1"/>
          <c:order val="1"/>
          <c:tx>
            <c:strRef>
              <c:f>'Trade_Map_-_List_of_products_im'!$A$32</c:f>
              <c:strCache>
                <c:ptCount val="1"/>
                <c:pt idx="0">
                  <c:v>Share of dairy in animal-origin products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'Trade_Map_-_List_of_products_im'!$C$32:$L$32</c:f>
              <c:numCache>
                <c:formatCode>0%</c:formatCode>
                <c:ptCount val="10"/>
                <c:pt idx="0">
                  <c:v>6.2408395617565365E-2</c:v>
                </c:pt>
                <c:pt idx="1">
                  <c:v>6.7688702999846265E-2</c:v>
                </c:pt>
                <c:pt idx="2">
                  <c:v>8.8553349213234767E-2</c:v>
                </c:pt>
                <c:pt idx="3">
                  <c:v>0.10136247498053146</c:v>
                </c:pt>
                <c:pt idx="4">
                  <c:v>0.1388614865006082</c:v>
                </c:pt>
                <c:pt idx="5">
                  <c:v>0.23645322878739353</c:v>
                </c:pt>
                <c:pt idx="6">
                  <c:v>0.23377222262239014</c:v>
                </c:pt>
                <c:pt idx="7">
                  <c:v>0.19092925378037517</c:v>
                </c:pt>
                <c:pt idx="8">
                  <c:v>0.19229451488834448</c:v>
                </c:pt>
                <c:pt idx="9">
                  <c:v>0.19189804780203226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C4-7944-A145-07DBFA4B1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90399"/>
        <c:axId val="246763903"/>
      </c:lineChart>
      <c:catAx>
        <c:axId val="18229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82301823"/>
        <c:crosses val="autoZero"/>
        <c:auto val="1"/>
        <c:lblAlgn val="ctr"/>
        <c:lblOffset val="100"/>
        <c:noMultiLvlLbl val="0"/>
      </c:catAx>
      <c:valAx>
        <c:axId val="18230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82293759"/>
        <c:crosses val="autoZero"/>
        <c:crossBetween val="between"/>
      </c:valAx>
      <c:valAx>
        <c:axId val="24676390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191990399"/>
        <c:crosses val="max"/>
        <c:crossBetween val="between"/>
      </c:valAx>
      <c:catAx>
        <c:axId val="191990399"/>
        <c:scaling>
          <c:orientation val="minMax"/>
        </c:scaling>
        <c:delete val="1"/>
        <c:axPos val="b"/>
        <c:majorTickMark val="out"/>
        <c:minorTickMark val="none"/>
        <c:tickLblPos val="nextTo"/>
        <c:crossAx val="246763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3168650</xdr:colOff>
      <xdr:row>35</xdr:row>
      <xdr:rowOff>196850</xdr:rowOff>
    </xdr:from>
    <xdr:to>
      <xdr:col>6</xdr:col>
      <xdr:colOff>476250</xdr:colOff>
      <xdr:row>49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ED187-0740-FC32-D37C-BC546B1DC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hare_dairy_exp.xlsx" TargetMode="External"/><Relationship Id="rId2" Type="http://schemas.openxmlformats.org/officeDocument/2006/relationships/externalLinkPath" Target="/Users/getapple/Documents/KSE/Master%20Thesis/share_dairy_exp.xlsx" TargetMode="External"/><Relationship Id="rId1" Type="http://schemas.openxmlformats.org/officeDocument/2006/relationships/externalLinkPath" Target="/Users/getapple/Documents/KSE/Master%20Thesis/share_dairy_ex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ade_Map_-_List_of_products_ex"/>
    </sheetNames>
    <sheetDataSet>
      <sheetData sheetId="0">
        <row r="14">
          <cell r="C14">
            <v>2015</v>
          </cell>
          <cell r="D14">
            <v>2016</v>
          </cell>
          <cell r="E14">
            <v>2017</v>
          </cell>
          <cell r="F14">
            <v>2018</v>
          </cell>
          <cell r="G14">
            <v>2019</v>
          </cell>
          <cell r="H14">
            <v>2020</v>
          </cell>
          <cell r="I14">
            <v>2021</v>
          </cell>
          <cell r="J14">
            <v>2022</v>
          </cell>
          <cell r="K14">
            <v>2023</v>
          </cell>
          <cell r="L14">
            <v>2024</v>
          </cell>
        </row>
        <row r="31">
          <cell r="A31" t="str">
            <v>Dairy EX</v>
          </cell>
          <cell r="C31">
            <v>160.09399999999999</v>
          </cell>
          <cell r="D31">
            <v>142.667</v>
          </cell>
          <cell r="E31">
            <v>249.37699999999998</v>
          </cell>
          <cell r="F31">
            <v>223.101</v>
          </cell>
          <cell r="G31">
            <v>199.65600000000001</v>
          </cell>
          <cell r="H31">
            <v>150.63600000000002</v>
          </cell>
          <cell r="I31">
            <v>150.57299999999998</v>
          </cell>
          <cell r="J31">
            <v>240.31399999999996</v>
          </cell>
          <cell r="K31">
            <v>168.24600000000001</v>
          </cell>
          <cell r="L31">
            <v>198.03099999999998</v>
          </cell>
        </row>
        <row r="32">
          <cell r="A32" t="str">
            <v>Share of dairy in animal-origin products</v>
          </cell>
          <cell r="C32">
            <v>0.21575283851622246</v>
          </cell>
          <cell r="D32">
            <v>0.2038522265326389</v>
          </cell>
          <cell r="E32">
            <v>0.25399695053324928</v>
          </cell>
          <cell r="F32">
            <v>0.21773747283173583</v>
          </cell>
          <cell r="G32">
            <v>0.17504977787363654</v>
          </cell>
          <cell r="H32">
            <v>0.14470247501212774</v>
          </cell>
          <cell r="I32">
            <v>0.13248297913150897</v>
          </cell>
          <cell r="J32">
            <v>0.17030284218388797</v>
          </cell>
          <cell r="K32">
            <v>0.13348884260636715</v>
          </cell>
          <cell r="L32">
            <v>0.13086322506206768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comtrade.un.org/" TargetMode="External"/><Relationship Id="rId1" Type="http://schemas.openxmlformats.org/officeDocument/2006/relationships/hyperlink" Target="https://ukrstat.gov.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D571-7791-BC45-990C-876920557B55}">
  <dimension ref="A1:L34"/>
  <sheetViews>
    <sheetView showGridLines="0" tabSelected="1" topLeftCell="A18" workbookViewId="0">
      <selection activeCell="C35" sqref="C35"/>
    </sheetView>
  </sheetViews>
  <sheetFormatPr baseColWidth="10" defaultRowHeight="16" x14ac:dyDescent="0.2"/>
  <cols>
    <col min="1" max="2" width="43.33203125" bestFit="1" customWidth="1"/>
    <col min="3" max="12" width="13" bestFit="1" customWidth="1"/>
  </cols>
  <sheetData>
    <row r="1" spans="1:12" x14ac:dyDescent="0.2">
      <c r="A1" s="12" t="s">
        <v>0</v>
      </c>
      <c r="B1" s="12"/>
      <c r="C1" s="12"/>
      <c r="D1" s="12"/>
      <c r="E1" s="12"/>
      <c r="F1" s="12"/>
    </row>
    <row r="2" spans="1:12" x14ac:dyDescent="0.2">
      <c r="A2" s="13" t="s">
        <v>1</v>
      </c>
      <c r="B2" s="13"/>
      <c r="C2" s="13"/>
      <c r="D2" s="13"/>
      <c r="E2" s="13"/>
      <c r="F2" s="13"/>
    </row>
    <row r="3" spans="1:12" x14ac:dyDescent="0.2">
      <c r="A3" s="1"/>
    </row>
    <row r="4" spans="1:12" ht="34" x14ac:dyDescent="0.2">
      <c r="A4" s="3" t="s">
        <v>2</v>
      </c>
    </row>
    <row r="5" spans="1:12" ht="34" x14ac:dyDescent="0.2">
      <c r="A5" s="3" t="s">
        <v>3</v>
      </c>
    </row>
    <row r="6" spans="1:12" x14ac:dyDescent="0.2">
      <c r="A6" s="1"/>
    </row>
    <row r="7" spans="1:12" x14ac:dyDescent="0.2">
      <c r="A7" s="1"/>
    </row>
    <row r="8" spans="1:12" x14ac:dyDescent="0.2">
      <c r="A8" s="1"/>
    </row>
    <row r="9" spans="1:12" x14ac:dyDescent="0.2">
      <c r="A9" s="1"/>
    </row>
    <row r="10" spans="1:12" x14ac:dyDescent="0.2">
      <c r="A10" s="1"/>
    </row>
    <row r="11" spans="1:12" x14ac:dyDescent="0.2">
      <c r="A11" s="1"/>
    </row>
    <row r="12" spans="1:12" x14ac:dyDescent="0.2">
      <c r="A12" s="2" t="s">
        <v>41</v>
      </c>
    </row>
    <row r="13" spans="1:12" x14ac:dyDescent="0.2">
      <c r="A13" s="1"/>
    </row>
    <row r="14" spans="1:12" x14ac:dyDescent="0.2">
      <c r="A14" s="5" t="s">
        <v>4</v>
      </c>
      <c r="B14" s="5" t="s">
        <v>5</v>
      </c>
      <c r="C14" s="5">
        <v>2015</v>
      </c>
      <c r="D14" s="5">
        <v>2016</v>
      </c>
      <c r="E14" s="5">
        <v>2017</v>
      </c>
      <c r="F14" s="5">
        <v>2018</v>
      </c>
      <c r="G14" s="5">
        <v>2019</v>
      </c>
      <c r="H14" s="5">
        <v>2020</v>
      </c>
      <c r="I14" s="5">
        <v>2021</v>
      </c>
      <c r="J14" s="5">
        <v>2022</v>
      </c>
      <c r="K14" s="5">
        <v>2023</v>
      </c>
      <c r="L14" s="5">
        <v>2024</v>
      </c>
    </row>
    <row r="15" spans="1:12" x14ac:dyDescent="0.2">
      <c r="A15" s="6" t="s">
        <v>6</v>
      </c>
      <c r="B15" s="7" t="s">
        <v>22</v>
      </c>
      <c r="C15" s="8">
        <v>21.073</v>
      </c>
      <c r="D15" s="8">
        <v>26.977</v>
      </c>
      <c r="E15" s="8">
        <v>41.707999999999998</v>
      </c>
      <c r="F15" s="8">
        <v>56.515000000000001</v>
      </c>
      <c r="G15" s="8">
        <v>97.137</v>
      </c>
      <c r="H15" s="8">
        <v>184.24600000000001</v>
      </c>
      <c r="I15" s="8">
        <v>219.79599999999999</v>
      </c>
      <c r="J15" s="8">
        <v>172.52600000000001</v>
      </c>
      <c r="K15" s="8">
        <v>185.56800000000001</v>
      </c>
      <c r="L15" s="8">
        <v>209.864</v>
      </c>
    </row>
    <row r="16" spans="1:12" x14ac:dyDescent="0.2">
      <c r="A16" s="9" t="s">
        <v>7</v>
      </c>
      <c r="B16" s="7" t="s">
        <v>23</v>
      </c>
      <c r="C16" s="10">
        <v>40.667000000000002</v>
      </c>
      <c r="D16" s="10">
        <v>14.628</v>
      </c>
      <c r="E16" s="10">
        <v>17.143999999999998</v>
      </c>
      <c r="F16" s="10">
        <v>11.128</v>
      </c>
      <c r="G16" s="10">
        <v>18.036000000000001</v>
      </c>
      <c r="H16" s="10">
        <v>9.0690000000000008</v>
      </c>
      <c r="I16" s="10">
        <v>9.3140000000000001</v>
      </c>
      <c r="J16" s="10">
        <v>22.016999999999999</v>
      </c>
      <c r="K16" s="10">
        <v>28.983000000000001</v>
      </c>
      <c r="L16" s="10">
        <v>36.441000000000003</v>
      </c>
    </row>
    <row r="17" spans="1:12" x14ac:dyDescent="0.2">
      <c r="A17" s="6" t="s">
        <v>8</v>
      </c>
      <c r="B17" s="7" t="s">
        <v>24</v>
      </c>
      <c r="C17" s="8">
        <v>2.3220000000000001</v>
      </c>
      <c r="D17" s="8">
        <v>3.4249999999999998</v>
      </c>
      <c r="E17" s="8">
        <v>3.9660000000000002</v>
      </c>
      <c r="F17" s="8">
        <v>6.3239999999999998</v>
      </c>
      <c r="G17" s="8">
        <v>14.7</v>
      </c>
      <c r="H17" s="8">
        <v>35.554000000000002</v>
      </c>
      <c r="I17" s="8">
        <v>38.469000000000001</v>
      </c>
      <c r="J17" s="8">
        <v>7.5060000000000002</v>
      </c>
      <c r="K17" s="8">
        <v>15.378</v>
      </c>
      <c r="L17" s="8">
        <v>17.167999999999999</v>
      </c>
    </row>
    <row r="18" spans="1:12" x14ac:dyDescent="0.2">
      <c r="A18" s="9" t="s">
        <v>9</v>
      </c>
      <c r="B18" s="7" t="s">
        <v>25</v>
      </c>
      <c r="C18" s="10">
        <v>3.2959999999999998</v>
      </c>
      <c r="D18" s="10">
        <v>3.5619999999999998</v>
      </c>
      <c r="E18" s="10">
        <v>4.9740000000000002</v>
      </c>
      <c r="F18" s="10">
        <v>6.6849999999999996</v>
      </c>
      <c r="G18" s="10">
        <v>8.0920000000000005</v>
      </c>
      <c r="H18" s="10">
        <v>12.291</v>
      </c>
      <c r="I18" s="10">
        <v>16.905000000000001</v>
      </c>
      <c r="J18" s="10">
        <v>14.157</v>
      </c>
      <c r="K18" s="10">
        <v>16.064</v>
      </c>
      <c r="L18" s="10">
        <v>15.510999999999999</v>
      </c>
    </row>
    <row r="19" spans="1:12" x14ac:dyDescent="0.2">
      <c r="A19" s="6" t="s">
        <v>10</v>
      </c>
      <c r="B19" s="7" t="s">
        <v>26</v>
      </c>
      <c r="C19" s="8">
        <v>1.889</v>
      </c>
      <c r="D19" s="8">
        <v>1.4510000000000001</v>
      </c>
      <c r="E19" s="8">
        <v>2.0979999999999999</v>
      </c>
      <c r="F19" s="8">
        <v>2.6419999999999999</v>
      </c>
      <c r="G19" s="8">
        <v>4.6029999999999998</v>
      </c>
      <c r="H19" s="8">
        <v>6.0629999999999997</v>
      </c>
      <c r="I19" s="8">
        <v>10.422000000000001</v>
      </c>
      <c r="J19" s="8">
        <v>6.5620000000000003</v>
      </c>
      <c r="K19" s="8">
        <v>11.532999999999999</v>
      </c>
      <c r="L19" s="8">
        <v>9.9890000000000008</v>
      </c>
    </row>
    <row r="20" spans="1:12" x14ac:dyDescent="0.2">
      <c r="A20" s="9" t="s">
        <v>11</v>
      </c>
      <c r="B20" s="7" t="s">
        <v>27</v>
      </c>
      <c r="C20" s="10">
        <v>1.5009999999999999</v>
      </c>
      <c r="D20" s="10">
        <v>1.9319999999999999</v>
      </c>
      <c r="E20" s="10">
        <v>3.3380000000000001</v>
      </c>
      <c r="F20" s="10">
        <v>4.8319999999999999</v>
      </c>
      <c r="G20" s="10">
        <v>5.1580000000000004</v>
      </c>
      <c r="H20" s="10">
        <v>12.271000000000001</v>
      </c>
      <c r="I20" s="10">
        <v>17.917000000000002</v>
      </c>
      <c r="J20" s="10">
        <v>3.82</v>
      </c>
      <c r="K20" s="10">
        <v>4.3810000000000002</v>
      </c>
      <c r="L20" s="10">
        <v>4.9059999999999997</v>
      </c>
    </row>
    <row r="21" spans="1:12" x14ac:dyDescent="0.2">
      <c r="A21" s="6" t="s">
        <v>12</v>
      </c>
      <c r="B21" s="7" t="s">
        <v>28</v>
      </c>
      <c r="C21" s="8">
        <v>0.747</v>
      </c>
      <c r="D21" s="8">
        <v>0.96</v>
      </c>
      <c r="E21" s="8">
        <v>1.2789999999999999</v>
      </c>
      <c r="F21" s="8">
        <v>1.75</v>
      </c>
      <c r="G21" s="8">
        <v>3.1909999999999998</v>
      </c>
      <c r="H21" s="8">
        <v>10.185</v>
      </c>
      <c r="I21" s="8">
        <v>11.302</v>
      </c>
      <c r="J21" s="8">
        <v>8.1449999999999996</v>
      </c>
      <c r="K21" s="8">
        <v>5.6109999999999998</v>
      </c>
      <c r="L21" s="8">
        <v>3.7410000000000001</v>
      </c>
    </row>
    <row r="22" spans="1:12" x14ac:dyDescent="0.2">
      <c r="A22" s="9" t="s">
        <v>13</v>
      </c>
      <c r="B22" s="7" t="s">
        <v>29</v>
      </c>
      <c r="C22" s="10">
        <v>0.26900000000000002</v>
      </c>
      <c r="D22" s="10">
        <v>0.51400000000000001</v>
      </c>
      <c r="E22" s="10">
        <v>0.48799999999999999</v>
      </c>
      <c r="F22" s="10">
        <v>0.13800000000000001</v>
      </c>
      <c r="G22" s="10">
        <v>0.32500000000000001</v>
      </c>
      <c r="H22" s="10">
        <v>0.13100000000000001</v>
      </c>
      <c r="I22" s="10">
        <v>0.48899999999999999</v>
      </c>
      <c r="J22" s="10">
        <v>0.224</v>
      </c>
      <c r="K22" s="10">
        <v>0.60599999999999998</v>
      </c>
      <c r="L22" s="10">
        <v>1.458</v>
      </c>
    </row>
    <row r="23" spans="1:12" x14ac:dyDescent="0.2">
      <c r="A23" s="6" t="s">
        <v>14</v>
      </c>
      <c r="B23" s="7" t="s">
        <v>30</v>
      </c>
      <c r="C23" s="8">
        <v>8.7999999999999995E-2</v>
      </c>
      <c r="D23" s="8">
        <v>0.27900000000000003</v>
      </c>
      <c r="E23" s="8">
        <v>0.14199999999999999</v>
      </c>
      <c r="F23" s="8">
        <v>5.2999999999999999E-2</v>
      </c>
      <c r="G23" s="8">
        <v>5.3999999999999999E-2</v>
      </c>
      <c r="H23" s="8">
        <v>0.23799999999999999</v>
      </c>
      <c r="I23" s="8">
        <v>0.11600000000000001</v>
      </c>
      <c r="J23" s="8">
        <v>0.41799999999999998</v>
      </c>
      <c r="K23" s="8">
        <v>0.113</v>
      </c>
      <c r="L23" s="8">
        <v>0.185</v>
      </c>
    </row>
    <row r="24" spans="1:12" x14ac:dyDescent="0.2">
      <c r="A24" s="9" t="s">
        <v>15</v>
      </c>
      <c r="B24" s="7" t="s">
        <v>31</v>
      </c>
      <c r="C24" s="10">
        <v>0</v>
      </c>
      <c r="D24" s="10">
        <v>8.9999999999999993E-3</v>
      </c>
      <c r="E24" s="10">
        <v>8.0000000000000002E-3</v>
      </c>
      <c r="F24" s="10">
        <v>6.0000000000000001E-3</v>
      </c>
      <c r="G24" s="10">
        <v>7.0000000000000001E-3</v>
      </c>
      <c r="H24" s="10">
        <v>4.0000000000000001E-3</v>
      </c>
      <c r="I24" s="10">
        <v>5.0000000000000001E-3</v>
      </c>
      <c r="J24" s="10">
        <v>0</v>
      </c>
      <c r="K24" s="10">
        <v>6.0000000000000001E-3</v>
      </c>
      <c r="L24" s="10">
        <v>6.0000000000000001E-3</v>
      </c>
    </row>
    <row r="25" spans="1:12" x14ac:dyDescent="0.2">
      <c r="A25" s="6" t="s">
        <v>17</v>
      </c>
      <c r="B25" s="7" t="s">
        <v>32</v>
      </c>
      <c r="C25" s="8">
        <v>53.802999999999997</v>
      </c>
      <c r="D25" s="8">
        <v>52.396000000000001</v>
      </c>
      <c r="E25" s="8">
        <v>50.857999999999997</v>
      </c>
      <c r="F25" s="8">
        <v>60.790999999999997</v>
      </c>
      <c r="G25" s="8">
        <v>68.453000000000003</v>
      </c>
      <c r="H25" s="8">
        <v>70.896000000000001</v>
      </c>
      <c r="I25" s="8">
        <v>77.174000000000007</v>
      </c>
      <c r="J25" s="8">
        <v>59.386000000000003</v>
      </c>
      <c r="K25" s="8">
        <v>74.478999999999999</v>
      </c>
      <c r="L25" s="8">
        <v>80.14</v>
      </c>
    </row>
    <row r="26" spans="1:12" x14ac:dyDescent="0.2">
      <c r="A26" s="9" t="s">
        <v>18</v>
      </c>
      <c r="B26" s="7" t="s">
        <v>33</v>
      </c>
      <c r="C26" s="10">
        <v>89.524000000000001</v>
      </c>
      <c r="D26" s="10">
        <v>72.992000000000004</v>
      </c>
      <c r="E26" s="10">
        <v>99.2</v>
      </c>
      <c r="F26" s="10">
        <v>141.90799999999999</v>
      </c>
      <c r="G26" s="10">
        <v>141.66200000000001</v>
      </c>
      <c r="H26" s="10">
        <v>144.601</v>
      </c>
      <c r="I26" s="10">
        <v>181.245</v>
      </c>
      <c r="J26" s="10">
        <v>198.958</v>
      </c>
      <c r="K26" s="10">
        <v>130.494</v>
      </c>
      <c r="L26" s="10">
        <v>95.323999999999998</v>
      </c>
    </row>
    <row r="27" spans="1:12" x14ac:dyDescent="0.2">
      <c r="A27" s="9" t="s">
        <v>20</v>
      </c>
      <c r="B27" s="7" t="s">
        <v>34</v>
      </c>
      <c r="C27" s="10">
        <v>262.34300000000002</v>
      </c>
      <c r="D27" s="10">
        <v>370.45800000000003</v>
      </c>
      <c r="E27" s="10">
        <v>403.30399999999997</v>
      </c>
      <c r="F27" s="10">
        <v>465.07</v>
      </c>
      <c r="G27" s="10">
        <v>575.75800000000004</v>
      </c>
      <c r="H27" s="10">
        <v>596.30499999999995</v>
      </c>
      <c r="I27" s="10">
        <v>739.41700000000003</v>
      </c>
      <c r="J27" s="10">
        <v>594.88499999999999</v>
      </c>
      <c r="K27" s="10">
        <v>742.98099999999999</v>
      </c>
      <c r="L27" s="10">
        <v>857.1</v>
      </c>
    </row>
    <row r="28" spans="1:12" x14ac:dyDescent="0.2">
      <c r="A28" s="6" t="s">
        <v>19</v>
      </c>
      <c r="B28" s="7" t="s">
        <v>35</v>
      </c>
      <c r="C28" s="8">
        <v>71.852999999999994</v>
      </c>
      <c r="D28" s="8">
        <v>53.738</v>
      </c>
      <c r="E28" s="8">
        <v>75.144999999999996</v>
      </c>
      <c r="F28" s="8">
        <v>90.075000000000003</v>
      </c>
      <c r="G28" s="8">
        <v>151.303</v>
      </c>
      <c r="H28" s="8">
        <v>270.053</v>
      </c>
      <c r="I28" s="8">
        <v>324.73500000000001</v>
      </c>
      <c r="J28" s="8">
        <v>235.375</v>
      </c>
      <c r="K28" s="8">
        <v>268.24299999999999</v>
      </c>
      <c r="L28" s="8">
        <v>299.27100000000002</v>
      </c>
    </row>
    <row r="29" spans="1:12" x14ac:dyDescent="0.2">
      <c r="A29" s="6" t="s">
        <v>16</v>
      </c>
      <c r="B29" s="7" t="s">
        <v>36</v>
      </c>
      <c r="C29" s="8">
        <v>16.449000000000002</v>
      </c>
      <c r="D29" s="8">
        <v>16.344999999999999</v>
      </c>
      <c r="E29" s="8">
        <v>19.271999999999998</v>
      </c>
      <c r="F29" s="8">
        <v>19.050999999999998</v>
      </c>
      <c r="G29" s="8">
        <v>19.756</v>
      </c>
      <c r="H29" s="8">
        <v>20.308</v>
      </c>
      <c r="I29" s="8">
        <v>24.085999999999999</v>
      </c>
      <c r="J29" s="8">
        <v>25.504999999999999</v>
      </c>
      <c r="K29" s="8">
        <v>24.27</v>
      </c>
      <c r="L29" s="8">
        <v>29.195</v>
      </c>
    </row>
    <row r="30" spans="1:12" x14ac:dyDescent="0.2">
      <c r="A30" s="6" t="s">
        <v>21</v>
      </c>
      <c r="B30" s="7" t="s">
        <v>37</v>
      </c>
      <c r="C30" s="8">
        <v>33809.752</v>
      </c>
      <c r="D30" s="8">
        <v>35468.741000000002</v>
      </c>
      <c r="E30" s="8">
        <v>43927.845000000001</v>
      </c>
      <c r="F30" s="8">
        <v>48402.536999999997</v>
      </c>
      <c r="G30" s="8">
        <v>54304.955999999998</v>
      </c>
      <c r="H30" s="8">
        <v>47609.347999999998</v>
      </c>
      <c r="I30" s="8">
        <v>61547.017999999996</v>
      </c>
      <c r="J30" s="8">
        <v>52400.860999999997</v>
      </c>
      <c r="K30" s="8">
        <v>58767.633999999998</v>
      </c>
      <c r="L30" s="8">
        <v>65149.775999999998</v>
      </c>
    </row>
    <row r="31" spans="1:12" x14ac:dyDescent="0.2">
      <c r="A31" s="6" t="s">
        <v>40</v>
      </c>
      <c r="B31" s="7" t="s">
        <v>39</v>
      </c>
      <c r="C31" s="7">
        <f>SUM(C15,C17,C18,C19,C20,C21)</f>
        <v>30.827999999999999</v>
      </c>
      <c r="D31" s="7">
        <f t="shared" ref="D31:L31" si="0">SUM(D15,D17,D18,D19,D20,D21)</f>
        <v>38.307000000000002</v>
      </c>
      <c r="E31" s="7">
        <f t="shared" si="0"/>
        <v>57.363</v>
      </c>
      <c r="F31" s="7">
        <f t="shared" si="0"/>
        <v>78.74799999999999</v>
      </c>
      <c r="G31" s="7">
        <f t="shared" si="0"/>
        <v>132.881</v>
      </c>
      <c r="H31" s="7">
        <f t="shared" si="0"/>
        <v>260.61</v>
      </c>
      <c r="I31" s="7">
        <f t="shared" si="0"/>
        <v>314.81100000000004</v>
      </c>
      <c r="J31" s="7">
        <f t="shared" si="0"/>
        <v>212.71600000000004</v>
      </c>
      <c r="K31" s="7">
        <f t="shared" si="0"/>
        <v>238.535</v>
      </c>
      <c r="L31" s="7">
        <f t="shared" si="0"/>
        <v>261.17899999999997</v>
      </c>
    </row>
    <row r="32" spans="1:12" x14ac:dyDescent="0.2">
      <c r="A32" s="6" t="s">
        <v>38</v>
      </c>
      <c r="B32" s="7" t="s">
        <v>39</v>
      </c>
      <c r="C32" s="11">
        <f>C31/SUM(C25:C29)</f>
        <v>6.2408395617565365E-2</v>
      </c>
      <c r="D32" s="11">
        <f t="shared" ref="D32:K32" si="1">D31/SUM(D25:D29)</f>
        <v>6.7688702999846265E-2</v>
      </c>
      <c r="E32" s="11">
        <f t="shared" si="1"/>
        <v>8.8553349213234767E-2</v>
      </c>
      <c r="F32" s="11">
        <f t="shared" si="1"/>
        <v>0.10136247498053146</v>
      </c>
      <c r="G32" s="11">
        <f t="shared" si="1"/>
        <v>0.1388614865006082</v>
      </c>
      <c r="H32" s="11">
        <f t="shared" si="1"/>
        <v>0.23645322878739353</v>
      </c>
      <c r="I32" s="11">
        <f t="shared" si="1"/>
        <v>0.23377222262239014</v>
      </c>
      <c r="J32" s="11">
        <f t="shared" si="1"/>
        <v>0.19092925378037517</v>
      </c>
      <c r="K32" s="11">
        <f t="shared" si="1"/>
        <v>0.19229451488834448</v>
      </c>
      <c r="L32" s="11">
        <f>L31/SUM(L25:L29)</f>
        <v>0.19189804780203226</v>
      </c>
    </row>
    <row r="34" spans="1:2" x14ac:dyDescent="0.2">
      <c r="A34" s="4"/>
      <c r="B34" s="4"/>
    </row>
  </sheetData>
  <mergeCells count="2">
    <mergeCell ref="A1:F1"/>
    <mergeCell ref="A2:F2"/>
  </mergeCells>
  <hyperlinks>
    <hyperlink ref="A4" r:id="rId1" display="https://ukrstat.gov.ua/" xr:uid="{51660AC9-6C81-4445-85B8-5D694038B67E}"/>
    <hyperlink ref="A5" r:id="rId2" display="http://comtrade.un.org/" xr:uid="{D3D36A15-100B-D340-B4A0-AA9F794739FD}"/>
  </hyperlinks>
  <pageMargins left="0.75" right="0.75" top="1" bottom="1" header="0.5" footer="0.5"/>
  <ignoredErrors>
    <ignoredError sqref="C32:L32" formulaRange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Trade_Map_-_List_of_products_im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Massimo</cp:lastModifiedBy>
  <dcterms:created xsi:type="dcterms:W3CDTF">2026-05-06T11:32:16Z</dcterms:created>
  <dcterms:modified xsi:type="dcterms:W3CDTF">2026-05-06T11:57:49Z</dcterms:modified>
</cp:coreProperties>
</file>