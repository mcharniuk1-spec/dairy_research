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26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getapple/Documents/KSE/Master Thesis/"/>
    </mc:Choice>
  </mc:AlternateContent>
  <xr:revisionPtr revIDLastSave="0" documentId="8_{08F610DF-2460-9043-BD4D-134709AD934B}" xr6:coauthVersionLast="47" xr6:coauthVersionMax="47" xr10:uidLastSave="{00000000-0000-0000-0000-000000000000}"/>
  <bookViews>
    <workbookView xWindow="0" yWindow="660" windowWidth="15420" windowHeight="18980" xr2:uid="{E24BEDB0-CCC9-2847-A4DF-F4C1606F5E8B}"/>
  </bookViews>
  <sheets>
    <sheet name="Trade_Map_-_List_of_products_ex" sheetId="2" r:id="rId1"/>
  </sheets>
  <definedNames>
    <definedName name="_xlchart.v1.0" hidden="1">'Trade_Map_-_List_of_products_ex'!$A$31</definedName>
    <definedName name="_xlchart.v1.1" hidden="1">'Trade_Map_-_List_of_products_ex'!$A$32</definedName>
    <definedName name="_xlchart.v1.2" hidden="1">'Trade_Map_-_List_of_products_ex'!$C$14:$L$14</definedName>
    <definedName name="_xlchart.v1.3" hidden="1">'Trade_Map_-_List_of_products_ex'!$C$31:$L$31</definedName>
    <definedName name="_xlchart.v1.4" hidden="1">'Trade_Map_-_List_of_products_ex'!$C$32:$L$32</definedName>
    <definedName name="_xlchart.v1.5" hidden="1">'Trade_Map_-_List_of_products_ex'!$A$31</definedName>
    <definedName name="_xlchart.v1.6" hidden="1">'Trade_Map_-_List_of_products_ex'!$A$32</definedName>
    <definedName name="_xlchart.v1.7" hidden="1">'Trade_Map_-_List_of_products_ex'!$C$14:$L$14</definedName>
    <definedName name="_xlchart.v1.8" hidden="1">'Trade_Map_-_List_of_products_ex'!$C$31:$L$31</definedName>
    <definedName name="_xlchart.v1.9" hidden="1">'Trade_Map_-_List_of_products_ex'!$C$32:$L$32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32" i="2" l="1"/>
  <c r="E32" i="2"/>
  <c r="F32" i="2"/>
  <c r="G32" i="2"/>
  <c r="H32" i="2"/>
  <c r="I32" i="2"/>
  <c r="J32" i="2"/>
  <c r="K32" i="2"/>
  <c r="L32" i="2"/>
  <c r="C32" i="2"/>
  <c r="D31" i="2"/>
  <c r="E31" i="2"/>
  <c r="F31" i="2"/>
  <c r="G31" i="2"/>
  <c r="H31" i="2"/>
  <c r="I31" i="2"/>
  <c r="J31" i="2"/>
  <c r="K31" i="2"/>
  <c r="L31" i="2"/>
  <c r="C31" i="2"/>
</calcChain>
</file>

<file path=xl/sharedStrings.xml><?xml version="1.0" encoding="utf-8"?>
<sst xmlns="http://schemas.openxmlformats.org/spreadsheetml/2006/main" count="43" uniqueCount="42">
  <si>
    <t xml:space="preserve">List of products exported by Ukraine </t>
  </si>
  <si>
    <t>detailed products in the following category: 04 Dairy produce; birds' eggs; natural honey; edible products of animal origin, not elsewhere ...</t>
  </si>
  <si>
    <t>Sources: ITC calculations based on State Statistics Service of Ukraine statistics since January, 2016.</t>
  </si>
  <si>
    <t>               ITC calculations based on UN COMTRADE statistics until January, 2016.</t>
  </si>
  <si>
    <t>Code</t>
  </si>
  <si>
    <t>Product label</t>
  </si>
  <si>
    <t>'0409</t>
  </si>
  <si>
    <t>'0407</t>
  </si>
  <si>
    <t>'0402</t>
  </si>
  <si>
    <t>'0406</t>
  </si>
  <si>
    <t>'0405</t>
  </si>
  <si>
    <t>'0408</t>
  </si>
  <si>
    <t>'0401</t>
  </si>
  <si>
    <t>'0404</t>
  </si>
  <si>
    <t>'0403</t>
  </si>
  <si>
    <t>'0410</t>
  </si>
  <si>
    <t>'01</t>
  </si>
  <si>
    <t>'02</t>
  </si>
  <si>
    <t>'04</t>
  </si>
  <si>
    <t>'03</t>
  </si>
  <si>
    <t>'05</t>
  </si>
  <si>
    <t>'TOTAL</t>
  </si>
  <si>
    <t>All Dairy</t>
  </si>
  <si>
    <t>Share of dairy in animal-origin products</t>
  </si>
  <si>
    <t>Cheese</t>
  </si>
  <si>
    <t>Shell Eggs</t>
  </si>
  <si>
    <t>Whey</t>
  </si>
  <si>
    <t>Honey</t>
  </si>
  <si>
    <t>Cond. Milk</t>
  </si>
  <si>
    <t>Butter</t>
  </si>
  <si>
    <t>Egg Products</t>
  </si>
  <si>
    <t>Fresh Milk</t>
  </si>
  <si>
    <t>Other Animal</t>
  </si>
  <si>
    <t>Live Animals</t>
  </si>
  <si>
    <t>Meat</t>
  </si>
  <si>
    <t>Dairy &amp; Eggs</t>
  </si>
  <si>
    <t>Seafood</t>
  </si>
  <si>
    <t>Animal Origin</t>
  </si>
  <si>
    <t>All Products</t>
  </si>
  <si>
    <t>Dairy EX</t>
  </si>
  <si>
    <t>Fermented Milk</t>
  </si>
  <si>
    <t>euro mln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</si>
</sst>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  <font>
      <sz val="10"/>
      <color theme="1"/>
      <name val="Aptos Narrow"/>
      <family val="2"/>
      <scheme val="minor"/>
    </font>
    <font>
      <b/>
      <sz val="10"/>
      <color theme="1"/>
      <name val="Aptos Narrow"/>
      <family val="2"/>
      <scheme val="minor"/>
    </font>
    <font>
      <u/>
      <sz val="12"/>
      <color theme="10"/>
      <name val="Aptos Narrow"/>
      <family val="2"/>
      <scheme val="minor"/>
    </font>
    <font>
      <b/>
      <sz val="8"/>
      <color rgb="FFFFFFFF"/>
      <name val="Aptos Narrow"/>
      <family val="2"/>
      <scheme val="minor"/>
    </font>
    <font>
      <sz val="8"/>
      <color rgb="FF002B54"/>
      <name val="Aptos Narrow"/>
      <family val="2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5D7B9D"/>
        <bgColor indexed="64"/>
      </patternFill>
    </fill>
    <fill>
      <patternFill patternType="solid">
        <fgColor rgb="FFF7F6F3"/>
        <bgColor indexed="64"/>
      </patternFill>
    </fill>
    <fill>
      <patternFill patternType="solid">
        <fgColor rgb="FFFFFFFF"/>
        <bgColor indexed="64"/>
      </patternFill>
    </fill>
  </fills>
  <borders count="19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2B54"/>
      </left>
      <right style="thin">
        <color rgb="FF000000"/>
      </right>
      <top style="thin">
        <color rgb="FF002B54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2B54"/>
      </top>
      <bottom style="thin">
        <color rgb="FF000000"/>
      </bottom>
      <diagonal/>
    </border>
    <border>
      <left style="thin">
        <color rgb="FF002B54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2B54"/>
      </right>
      <top style="thin">
        <color rgb="FF000000"/>
      </top>
      <bottom style="thin">
        <color rgb="FF000000"/>
      </bottom>
      <diagonal/>
    </border>
    <border>
      <left style="thin">
        <color rgb="FF002B54"/>
      </left>
      <right style="thin">
        <color rgb="FF000000"/>
      </right>
      <top style="thin">
        <color rgb="FF000000"/>
      </top>
      <bottom style="thin">
        <color rgb="FF002B5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2B54"/>
      </bottom>
      <diagonal/>
    </border>
    <border>
      <left style="thin">
        <color rgb="FF000000"/>
      </left>
      <right style="thin">
        <color rgb="FF002B54"/>
      </right>
      <top style="thin">
        <color rgb="FF000000"/>
      </top>
      <bottom style="thin">
        <color rgb="FF002B5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4">
    <xf numFmtId="0" fontId="0" fillId="0" borderId="0"/>
    <xf numFmtId="9" fontId="1" fillId="0" borderId="0" applyFont="0" applyFill="0" applyBorder="0" applyAlignment="0" applyProtection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20" fillId="0" borderId="0" applyNumberFormat="0" applyFill="0" applyBorder="0" applyAlignment="0" applyProtection="0"/>
  </cellStyleXfs>
  <cellXfs count="22">
    <xf numFmtId="0" fontId="0" fillId="0" borderId="0" xfId="0"/>
    <xf numFmtId="0" fontId="19" fillId="0" borderId="0" xfId="0" applyFont="1" applyAlignment="1">
      <alignment horizontal="center" wrapText="1"/>
    </xf>
    <xf numFmtId="0" fontId="18" fillId="0" borderId="0" xfId="0" applyFont="1" applyAlignment="1">
      <alignment horizontal="center" wrapText="1"/>
    </xf>
    <xf numFmtId="0" fontId="0" fillId="0" borderId="0" xfId="0" applyAlignment="1">
      <alignment wrapText="1"/>
    </xf>
    <xf numFmtId="0" fontId="18" fillId="0" borderId="0" xfId="0" applyFont="1" applyAlignment="1">
      <alignment wrapText="1"/>
    </xf>
    <xf numFmtId="0" fontId="20" fillId="0" borderId="0" xfId="43" applyAlignment="1">
      <alignment wrapText="1"/>
    </xf>
    <xf numFmtId="0" fontId="22" fillId="34" borderId="10" xfId="0" applyFont="1" applyFill="1" applyBorder="1" applyAlignment="1">
      <alignment horizontal="right" wrapText="1"/>
    </xf>
    <xf numFmtId="0" fontId="22" fillId="35" borderId="10" xfId="0" applyFont="1" applyFill="1" applyBorder="1" applyAlignment="1">
      <alignment horizontal="right" wrapText="1"/>
    </xf>
    <xf numFmtId="0" fontId="21" fillId="33" borderId="11" xfId="0" applyFont="1" applyFill="1" applyBorder="1" applyAlignment="1">
      <alignment horizontal="center" vertical="center" wrapText="1"/>
    </xf>
    <xf numFmtId="0" fontId="21" fillId="33" borderId="12" xfId="0" applyFont="1" applyFill="1" applyBorder="1" applyAlignment="1">
      <alignment horizontal="center" vertical="center" wrapText="1"/>
    </xf>
    <xf numFmtId="0" fontId="22" fillId="34" borderId="13" xfId="0" applyFont="1" applyFill="1" applyBorder="1" applyAlignment="1">
      <alignment horizontal="left" wrapText="1"/>
    </xf>
    <xf numFmtId="0" fontId="22" fillId="34" borderId="14" xfId="0" applyFont="1" applyFill="1" applyBorder="1" applyAlignment="1">
      <alignment horizontal="right" wrapText="1"/>
    </xf>
    <xf numFmtId="0" fontId="22" fillId="35" borderId="13" xfId="0" applyFont="1" applyFill="1" applyBorder="1" applyAlignment="1">
      <alignment horizontal="left" wrapText="1"/>
    </xf>
    <xf numFmtId="0" fontId="22" fillId="35" borderId="14" xfId="0" applyFont="1" applyFill="1" applyBorder="1" applyAlignment="1">
      <alignment horizontal="right" wrapText="1"/>
    </xf>
    <xf numFmtId="0" fontId="22" fillId="35" borderId="15" xfId="0" applyFont="1" applyFill="1" applyBorder="1" applyAlignment="1">
      <alignment horizontal="left" wrapText="1"/>
    </xf>
    <xf numFmtId="0" fontId="22" fillId="35" borderId="16" xfId="0" applyFont="1" applyFill="1" applyBorder="1" applyAlignment="1">
      <alignment horizontal="right" wrapText="1"/>
    </xf>
    <xf numFmtId="0" fontId="22" fillId="35" borderId="17" xfId="0" applyFont="1" applyFill="1" applyBorder="1" applyAlignment="1">
      <alignment horizontal="right" wrapText="1"/>
    </xf>
    <xf numFmtId="0" fontId="22" fillId="34" borderId="18" xfId="0" applyFont="1" applyFill="1" applyBorder="1" applyAlignment="1">
      <alignment horizontal="left" wrapText="1"/>
    </xf>
    <xf numFmtId="0" fontId="0" fillId="0" borderId="18" xfId="0" applyBorder="1"/>
    <xf numFmtId="9" fontId="0" fillId="0" borderId="18" xfId="1" applyFont="1" applyBorder="1"/>
    <xf numFmtId="0" fontId="16" fillId="0" borderId="0" xfId="0" applyFont="1"/>
    <xf numFmtId="0" fontId="21" fillId="33" borderId="18" xfId="0" applyFont="1" applyFill="1" applyBorder="1" applyAlignment="1">
      <alignment horizontal="center" vertical="center" wrapText="1"/>
    </xf>
  </cellXfs>
  <cellStyles count="44">
    <cellStyle name="20% - Accent1" xfId="20" builtinId="30" customBuiltin="1"/>
    <cellStyle name="20% - Accent2" xfId="24" builtinId="34" customBuiltin="1"/>
    <cellStyle name="20% - Accent3" xfId="28" builtinId="38" customBuiltin="1"/>
    <cellStyle name="20% - Accent4" xfId="32" builtinId="42" customBuiltin="1"/>
    <cellStyle name="20% - Accent5" xfId="36" builtinId="46" customBuiltin="1"/>
    <cellStyle name="20% - Accent6" xfId="40" builtinId="50" customBuiltin="1"/>
    <cellStyle name="40% - Accent1" xfId="21" builtinId="31" customBuiltin="1"/>
    <cellStyle name="40% - Accent2" xfId="25" builtinId="35" customBuiltin="1"/>
    <cellStyle name="40% - Accent3" xfId="29" builtinId="39" customBuiltin="1"/>
    <cellStyle name="40% - Accent4" xfId="33" builtinId="43" customBuiltin="1"/>
    <cellStyle name="40% - Accent5" xfId="37" builtinId="47" customBuiltin="1"/>
    <cellStyle name="40% - Accent6" xfId="41" builtinId="51" customBuiltin="1"/>
    <cellStyle name="60% - Accent1" xfId="22" builtinId="32" customBuiltin="1"/>
    <cellStyle name="60% - Accent2" xfId="26" builtinId="36" customBuiltin="1"/>
    <cellStyle name="60% - Accent3" xfId="30" builtinId="40" customBuiltin="1"/>
    <cellStyle name="60% - Accent4" xfId="34" builtinId="44" customBuiltin="1"/>
    <cellStyle name="60% - Accent5" xfId="38" builtinId="48" customBuiltin="1"/>
    <cellStyle name="60% - Accent6" xfId="42" builtinId="52" customBuiltin="1"/>
    <cellStyle name="Accent1" xfId="19" builtinId="29" customBuiltin="1"/>
    <cellStyle name="Accent2" xfId="23" builtinId="33" customBuiltin="1"/>
    <cellStyle name="Accent3" xfId="27" builtinId="37" customBuiltin="1"/>
    <cellStyle name="Accent4" xfId="31" builtinId="41" customBuiltin="1"/>
    <cellStyle name="Accent5" xfId="35" builtinId="45" customBuiltin="1"/>
    <cellStyle name="Accent6" xfId="39" builtinId="49" customBuiltin="1"/>
    <cellStyle name="Bad" xfId="8" builtinId="27" customBuiltin="1"/>
    <cellStyle name="Calculation" xfId="12" builtinId="22" customBuiltin="1"/>
    <cellStyle name="Check Cell" xfId="14" builtinId="23" customBuiltin="1"/>
    <cellStyle name="Explanatory Text" xfId="17" builtinId="53" customBuiltin="1"/>
    <cellStyle name="Good" xfId="7" builtinId="26" customBuiltin="1"/>
    <cellStyle name="Heading 1" xfId="3" builtinId="16" customBuiltin="1"/>
    <cellStyle name="Heading 2" xfId="4" builtinId="17" customBuiltin="1"/>
    <cellStyle name="Heading 3" xfId="5" builtinId="18" customBuiltin="1"/>
    <cellStyle name="Heading 4" xfId="6" builtinId="19" customBuiltin="1"/>
    <cellStyle name="Hyperlink" xfId="43" builtinId="8"/>
    <cellStyle name="Input" xfId="10" builtinId="20" customBuiltin="1"/>
    <cellStyle name="Linked Cell" xfId="13" builtinId="24" customBuiltin="1"/>
    <cellStyle name="Neutral" xfId="9" builtinId="28" customBuiltin="1"/>
    <cellStyle name="Normal" xfId="0" builtinId="0"/>
    <cellStyle name="Note" xfId="16" builtinId="10" customBuiltin="1"/>
    <cellStyle name="Output" xfId="11" builtinId="21" customBuiltin="1"/>
    <cellStyle name="Percent" xfId="1" builtinId="5"/>
    <cellStyle name="Title" xfId="2" builtinId="15" customBuiltin="1"/>
    <cellStyle name="Total" xfId="18" builtinId="25" customBuiltin="1"/>
    <cellStyle name="Warning Text" xfId="15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'Trade_Map_-_List_of_products_ex'!$A$31</c:f>
              <c:strCache>
                <c:ptCount val="1"/>
                <c:pt idx="0">
                  <c:v>Dairy EX</c:v>
                </c:pt>
              </c:strCache>
            </c:strRef>
          </c:tx>
          <c:spPr>
            <a:solidFill>
              <a:schemeClr val="bg2">
                <a:lumMod val="75000"/>
              </a:schemeClr>
            </a:solidFill>
            <a:ln>
              <a:noFill/>
            </a:ln>
            <a:effectLst/>
          </c:spPr>
          <c:invertIfNegative val="0"/>
          <c:cat>
            <c:numRef>
              <c:f>'Trade_Map_-_List_of_products_ex'!$C$14:$L$14</c:f>
              <c:numCache>
                <c:formatCode>General</c:formatCode>
                <c:ptCount val="10"/>
                <c:pt idx="0">
                  <c:v>2015</c:v>
                </c:pt>
                <c:pt idx="1">
                  <c:v>2016</c:v>
                </c:pt>
                <c:pt idx="2">
                  <c:v>2017</c:v>
                </c:pt>
                <c:pt idx="3">
                  <c:v>2018</c:v>
                </c:pt>
                <c:pt idx="4">
                  <c:v>2019</c:v>
                </c:pt>
                <c:pt idx="5">
                  <c:v>2020</c:v>
                </c:pt>
                <c:pt idx="6">
                  <c:v>2021</c:v>
                </c:pt>
                <c:pt idx="7">
                  <c:v>2022</c:v>
                </c:pt>
                <c:pt idx="8">
                  <c:v>2023</c:v>
                </c:pt>
                <c:pt idx="9">
                  <c:v>2024</c:v>
                </c:pt>
              </c:numCache>
            </c:numRef>
          </c:cat>
          <c:val>
            <c:numRef>
              <c:f>'Trade_Map_-_List_of_products_ex'!$C$31:$L$31</c:f>
              <c:numCache>
                <c:formatCode>General</c:formatCode>
                <c:ptCount val="10"/>
                <c:pt idx="0">
                  <c:v>160.09399999999999</c:v>
                </c:pt>
                <c:pt idx="1">
                  <c:v>142.667</c:v>
                </c:pt>
                <c:pt idx="2">
                  <c:v>249.37699999999998</c:v>
                </c:pt>
                <c:pt idx="3">
                  <c:v>223.101</c:v>
                </c:pt>
                <c:pt idx="4">
                  <c:v>199.65600000000001</c:v>
                </c:pt>
                <c:pt idx="5">
                  <c:v>150.63600000000002</c:v>
                </c:pt>
                <c:pt idx="6">
                  <c:v>150.57299999999998</c:v>
                </c:pt>
                <c:pt idx="7">
                  <c:v>240.31399999999996</c:v>
                </c:pt>
                <c:pt idx="8">
                  <c:v>168.24600000000001</c:v>
                </c:pt>
                <c:pt idx="9">
                  <c:v>198.03099999999998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B5C1-0145-B721-29B451EB591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50"/>
        <c:axId val="192315391"/>
        <c:axId val="192317631"/>
      </c:barChart>
      <c:lineChart>
        <c:grouping val="standard"/>
        <c:varyColors val="0"/>
        <c:ser>
          <c:idx val="1"/>
          <c:order val="1"/>
          <c:tx>
            <c:strRef>
              <c:f>'Trade_Map_-_List_of_products_ex'!$A$32</c:f>
              <c:strCache>
                <c:ptCount val="1"/>
                <c:pt idx="0">
                  <c:v>Share of dairy in animal-origin products</c:v>
                </c:pt>
              </c:strCache>
            </c:strRef>
          </c:tx>
          <c:spPr>
            <a:ln w="28575" cap="rnd">
              <a:solidFill>
                <a:schemeClr val="bg2">
                  <a:lumMod val="25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'Trade_Map_-_List_of_products_ex'!$C$14:$L$14</c:f>
              <c:numCache>
                <c:formatCode>General</c:formatCode>
                <c:ptCount val="10"/>
                <c:pt idx="0">
                  <c:v>2015</c:v>
                </c:pt>
                <c:pt idx="1">
                  <c:v>2016</c:v>
                </c:pt>
                <c:pt idx="2">
                  <c:v>2017</c:v>
                </c:pt>
                <c:pt idx="3">
                  <c:v>2018</c:v>
                </c:pt>
                <c:pt idx="4">
                  <c:v>2019</c:v>
                </c:pt>
                <c:pt idx="5">
                  <c:v>2020</c:v>
                </c:pt>
                <c:pt idx="6">
                  <c:v>2021</c:v>
                </c:pt>
                <c:pt idx="7">
                  <c:v>2022</c:v>
                </c:pt>
                <c:pt idx="8">
                  <c:v>2023</c:v>
                </c:pt>
                <c:pt idx="9">
                  <c:v>2024</c:v>
                </c:pt>
              </c:numCache>
            </c:numRef>
          </c:cat>
          <c:val>
            <c:numRef>
              <c:f>'Trade_Map_-_List_of_products_ex'!$C$32:$L$32</c:f>
              <c:numCache>
                <c:formatCode>0%</c:formatCode>
                <c:ptCount val="10"/>
                <c:pt idx="0">
                  <c:v>0.21575283851622246</c:v>
                </c:pt>
                <c:pt idx="1">
                  <c:v>0.2038522265326389</c:v>
                </c:pt>
                <c:pt idx="2">
                  <c:v>0.25399695053324928</c:v>
                </c:pt>
                <c:pt idx="3">
                  <c:v>0.21773747283173583</c:v>
                </c:pt>
                <c:pt idx="4">
                  <c:v>0.17504977787363654</c:v>
                </c:pt>
                <c:pt idx="5">
                  <c:v>0.14470247501212774</c:v>
                </c:pt>
                <c:pt idx="6">
                  <c:v>0.13248297913150897</c:v>
                </c:pt>
                <c:pt idx="7">
                  <c:v>0.17030284218388797</c:v>
                </c:pt>
                <c:pt idx="8">
                  <c:v>0.13348884260636715</c:v>
                </c:pt>
                <c:pt idx="9">
                  <c:v>0.13086322506206768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5-B5C1-0145-B721-29B451EB591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88467839"/>
        <c:axId val="235594047"/>
      </c:lineChart>
      <c:catAx>
        <c:axId val="19231539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A"/>
          </a:p>
        </c:txPr>
        <c:crossAx val="192317631"/>
        <c:crosses val="autoZero"/>
        <c:auto val="1"/>
        <c:lblAlgn val="ctr"/>
        <c:lblOffset val="100"/>
        <c:noMultiLvlLbl val="0"/>
      </c:catAx>
      <c:valAx>
        <c:axId val="19231763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A"/>
          </a:p>
        </c:txPr>
        <c:crossAx val="192315391"/>
        <c:crosses val="autoZero"/>
        <c:crossBetween val="between"/>
      </c:valAx>
      <c:valAx>
        <c:axId val="235594047"/>
        <c:scaling>
          <c:orientation val="minMax"/>
        </c:scaling>
        <c:delete val="0"/>
        <c:axPos val="r"/>
        <c:numFmt formatCode="0%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A"/>
          </a:p>
        </c:txPr>
        <c:crossAx val="188467839"/>
        <c:crosses val="max"/>
        <c:crossBetween val="between"/>
      </c:valAx>
      <c:catAx>
        <c:axId val="188467839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235594047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A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A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863600</xdr:colOff>
      <xdr:row>34</xdr:row>
      <xdr:rowOff>6350</xdr:rowOff>
    </xdr:from>
    <xdr:to>
      <xdr:col>8</xdr:col>
      <xdr:colOff>482600</xdr:colOff>
      <xdr:row>47</xdr:row>
      <xdr:rowOff>107950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78D4F36D-A76D-4B90-816A-6C39EB31DBD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hyperlink" Target="http://comtrade.un.org/" TargetMode="External"/><Relationship Id="rId1" Type="http://schemas.openxmlformats.org/officeDocument/2006/relationships/hyperlink" Target="https://ukrstat.gov.ua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77F6DB-2214-E241-9F9D-A259C7680E21}">
  <dimension ref="A1:L34"/>
  <sheetViews>
    <sheetView showGridLines="0" tabSelected="1" topLeftCell="C9" workbookViewId="0">
      <selection activeCell="E33" sqref="E33"/>
    </sheetView>
  </sheetViews>
  <sheetFormatPr baseColWidth="10" defaultRowHeight="16" x14ac:dyDescent="0.2"/>
  <cols>
    <col min="1" max="2" width="43.33203125" bestFit="1" customWidth="1"/>
    <col min="3" max="12" width="13" bestFit="1" customWidth="1"/>
  </cols>
  <sheetData>
    <row r="1" spans="1:12" x14ac:dyDescent="0.2">
      <c r="A1" s="1" t="s">
        <v>0</v>
      </c>
      <c r="B1" s="1"/>
      <c r="C1" s="1"/>
      <c r="D1" s="1"/>
      <c r="E1" s="1"/>
      <c r="F1" s="1"/>
    </row>
    <row r="2" spans="1:12" x14ac:dyDescent="0.2">
      <c r="A2" s="2" t="s">
        <v>1</v>
      </c>
      <c r="B2" s="2"/>
      <c r="C2" s="2"/>
      <c r="D2" s="2"/>
      <c r="E2" s="2"/>
      <c r="F2" s="2"/>
    </row>
    <row r="3" spans="1:12" x14ac:dyDescent="0.2">
      <c r="A3" s="3"/>
    </row>
    <row r="4" spans="1:12" ht="34" x14ac:dyDescent="0.2">
      <c r="A4" s="5" t="s">
        <v>2</v>
      </c>
    </row>
    <row r="5" spans="1:12" ht="34" x14ac:dyDescent="0.2">
      <c r="A5" s="5" t="s">
        <v>3</v>
      </c>
    </row>
    <row r="6" spans="1:12" x14ac:dyDescent="0.2">
      <c r="A6" s="3"/>
    </row>
    <row r="7" spans="1:12" x14ac:dyDescent="0.2">
      <c r="A7" s="3"/>
    </row>
    <row r="8" spans="1:12" x14ac:dyDescent="0.2">
      <c r="A8" s="3"/>
    </row>
    <row r="9" spans="1:12" x14ac:dyDescent="0.2">
      <c r="A9" s="3"/>
    </row>
    <row r="10" spans="1:12" x14ac:dyDescent="0.2">
      <c r="A10" s="3"/>
    </row>
    <row r="11" spans="1:12" x14ac:dyDescent="0.2">
      <c r="A11" s="3"/>
    </row>
    <row r="12" spans="1:12" x14ac:dyDescent="0.2">
      <c r="A12" s="4" t="s">
        <v>41</v>
      </c>
    </row>
    <row r="13" spans="1:12" x14ac:dyDescent="0.2">
      <c r="A13" s="3"/>
    </row>
    <row r="14" spans="1:12" x14ac:dyDescent="0.2">
      <c r="A14" s="8" t="s">
        <v>4</v>
      </c>
      <c r="B14" s="9" t="s">
        <v>5</v>
      </c>
      <c r="C14" s="21">
        <v>2015</v>
      </c>
      <c r="D14" s="21">
        <v>2016</v>
      </c>
      <c r="E14" s="21">
        <v>2017</v>
      </c>
      <c r="F14" s="21">
        <v>2018</v>
      </c>
      <c r="G14" s="21">
        <v>2019</v>
      </c>
      <c r="H14" s="21">
        <v>2020</v>
      </c>
      <c r="I14" s="21">
        <v>2021</v>
      </c>
      <c r="J14" s="21">
        <v>2022</v>
      </c>
      <c r="K14" s="21">
        <v>2023</v>
      </c>
      <c r="L14" s="21">
        <v>2024</v>
      </c>
    </row>
    <row r="15" spans="1:12" x14ac:dyDescent="0.2">
      <c r="A15" s="10" t="s">
        <v>6</v>
      </c>
      <c r="B15" t="s">
        <v>27</v>
      </c>
      <c r="C15" s="6">
        <v>75.685000000000002</v>
      </c>
      <c r="D15" s="6">
        <v>87.888999999999996</v>
      </c>
      <c r="E15" s="6">
        <v>118.38</v>
      </c>
      <c r="F15" s="6">
        <v>82.933000000000007</v>
      </c>
      <c r="G15" s="6">
        <v>90.281000000000006</v>
      </c>
      <c r="H15" s="6">
        <v>121.572</v>
      </c>
      <c r="I15" s="6">
        <v>121.233</v>
      </c>
      <c r="J15" s="6">
        <v>130.893</v>
      </c>
      <c r="K15" s="6">
        <v>112.22799999999999</v>
      </c>
      <c r="L15" s="11">
        <v>154.28100000000001</v>
      </c>
    </row>
    <row r="16" spans="1:12" x14ac:dyDescent="0.2">
      <c r="A16" s="12" t="s">
        <v>7</v>
      </c>
      <c r="B16" t="s">
        <v>25</v>
      </c>
      <c r="C16" s="7">
        <v>69.799000000000007</v>
      </c>
      <c r="D16" s="7">
        <v>41.104999999999997</v>
      </c>
      <c r="E16" s="7">
        <v>60.781999999999996</v>
      </c>
      <c r="F16" s="7">
        <v>79.665999999999997</v>
      </c>
      <c r="G16" s="7">
        <v>99.921000000000006</v>
      </c>
      <c r="H16" s="7">
        <v>85.253</v>
      </c>
      <c r="I16" s="7">
        <v>37.674999999999997</v>
      </c>
      <c r="J16" s="7">
        <v>40.353999999999999</v>
      </c>
      <c r="K16" s="7">
        <v>56.25</v>
      </c>
      <c r="L16" s="13">
        <v>68.887</v>
      </c>
    </row>
    <row r="17" spans="1:12" x14ac:dyDescent="0.2">
      <c r="A17" s="10" t="s">
        <v>8</v>
      </c>
      <c r="B17" t="s">
        <v>28</v>
      </c>
      <c r="C17" s="6">
        <v>80.478999999999999</v>
      </c>
      <c r="D17" s="6">
        <v>66.575000000000003</v>
      </c>
      <c r="E17" s="6">
        <v>71.358999999999995</v>
      </c>
      <c r="F17" s="6">
        <v>49.976999999999997</v>
      </c>
      <c r="G17" s="6">
        <v>68.064999999999998</v>
      </c>
      <c r="H17" s="6">
        <v>48.655000000000001</v>
      </c>
      <c r="I17" s="6">
        <v>48.47</v>
      </c>
      <c r="J17" s="6">
        <v>86.637</v>
      </c>
      <c r="K17" s="6">
        <v>63.49</v>
      </c>
      <c r="L17" s="11">
        <v>68.650999999999996</v>
      </c>
    </row>
    <row r="18" spans="1:12" x14ac:dyDescent="0.2">
      <c r="A18" s="12" t="s">
        <v>9</v>
      </c>
      <c r="B18" t="s">
        <v>24</v>
      </c>
      <c r="C18" s="7">
        <v>31.481000000000002</v>
      </c>
      <c r="D18" s="7">
        <v>21.975000000000001</v>
      </c>
      <c r="E18" s="7">
        <v>28.780999999999999</v>
      </c>
      <c r="F18" s="7">
        <v>26.065000000000001</v>
      </c>
      <c r="G18" s="7">
        <v>23.916</v>
      </c>
      <c r="H18" s="7">
        <v>21.393000000000001</v>
      </c>
      <c r="I18" s="7">
        <v>22.553000000000001</v>
      </c>
      <c r="J18" s="7">
        <v>40.061</v>
      </c>
      <c r="K18" s="7">
        <v>36.921999999999997</v>
      </c>
      <c r="L18" s="13">
        <v>50.076999999999998</v>
      </c>
    </row>
    <row r="19" spans="1:12" x14ac:dyDescent="0.2">
      <c r="A19" s="10" t="s">
        <v>10</v>
      </c>
      <c r="B19" t="s">
        <v>29</v>
      </c>
      <c r="C19" s="6">
        <v>26.986999999999998</v>
      </c>
      <c r="D19" s="6">
        <v>33.917999999999999</v>
      </c>
      <c r="E19" s="6">
        <v>114.93</v>
      </c>
      <c r="F19" s="6">
        <v>108.851</v>
      </c>
      <c r="G19" s="6">
        <v>68.852000000000004</v>
      </c>
      <c r="H19" s="6">
        <v>42.661999999999999</v>
      </c>
      <c r="I19" s="6">
        <v>44.195</v>
      </c>
      <c r="J19" s="6">
        <v>77.722999999999999</v>
      </c>
      <c r="K19" s="6">
        <v>38.619999999999997</v>
      </c>
      <c r="L19" s="11">
        <v>45.189</v>
      </c>
    </row>
    <row r="20" spans="1:12" x14ac:dyDescent="0.2">
      <c r="A20" s="12" t="s">
        <v>11</v>
      </c>
      <c r="B20" t="s">
        <v>30</v>
      </c>
      <c r="C20" s="7">
        <v>42.710999999999999</v>
      </c>
      <c r="D20" s="7">
        <v>26.988</v>
      </c>
      <c r="E20" s="7">
        <v>9.0839999999999996</v>
      </c>
      <c r="F20" s="7">
        <v>21.367000000000001</v>
      </c>
      <c r="G20" s="7">
        <v>15.523</v>
      </c>
      <c r="H20" s="7">
        <v>16.044</v>
      </c>
      <c r="I20" s="7">
        <v>10.227</v>
      </c>
      <c r="J20" s="7">
        <v>22.02</v>
      </c>
      <c r="K20" s="7">
        <v>36.32</v>
      </c>
      <c r="L20" s="13">
        <v>30.759</v>
      </c>
    </row>
    <row r="21" spans="1:12" x14ac:dyDescent="0.2">
      <c r="A21" s="10" t="s">
        <v>12</v>
      </c>
      <c r="B21" t="s">
        <v>31</v>
      </c>
      <c r="C21" s="6">
        <v>4.1630000000000003</v>
      </c>
      <c r="D21" s="6">
        <v>4.907</v>
      </c>
      <c r="E21" s="6">
        <v>8.6199999999999992</v>
      </c>
      <c r="F21" s="6">
        <v>12.471</v>
      </c>
      <c r="G21" s="6">
        <v>13.675000000000001</v>
      </c>
      <c r="H21" s="6">
        <v>10.519</v>
      </c>
      <c r="I21" s="6">
        <v>8.7639999999999993</v>
      </c>
      <c r="J21" s="6">
        <v>15.563000000000001</v>
      </c>
      <c r="K21" s="6">
        <v>15.321999999999999</v>
      </c>
      <c r="L21" s="11">
        <v>16.283000000000001</v>
      </c>
    </row>
    <row r="22" spans="1:12" x14ac:dyDescent="0.2">
      <c r="A22" s="12" t="s">
        <v>13</v>
      </c>
      <c r="B22" t="s">
        <v>26</v>
      </c>
      <c r="C22" s="7">
        <v>13.978999999999999</v>
      </c>
      <c r="D22" s="7">
        <v>12.959</v>
      </c>
      <c r="E22" s="7">
        <v>21.986000000000001</v>
      </c>
      <c r="F22" s="7">
        <v>18.559999999999999</v>
      </c>
      <c r="G22" s="7">
        <v>16.305</v>
      </c>
      <c r="H22" s="7">
        <v>19.544</v>
      </c>
      <c r="I22" s="7">
        <v>19.283000000000001</v>
      </c>
      <c r="J22" s="7">
        <v>15.904</v>
      </c>
      <c r="K22" s="7">
        <v>10.035</v>
      </c>
      <c r="L22" s="13">
        <v>12.363</v>
      </c>
    </row>
    <row r="23" spans="1:12" x14ac:dyDescent="0.2">
      <c r="A23" s="10" t="s">
        <v>14</v>
      </c>
      <c r="B23" t="s">
        <v>40</v>
      </c>
      <c r="C23" s="6">
        <v>3.0049999999999999</v>
      </c>
      <c r="D23" s="6">
        <v>2.3330000000000002</v>
      </c>
      <c r="E23" s="6">
        <v>3.7010000000000001</v>
      </c>
      <c r="F23" s="6">
        <v>7.1769999999999996</v>
      </c>
      <c r="G23" s="6">
        <v>8.843</v>
      </c>
      <c r="H23" s="6">
        <v>7.8630000000000004</v>
      </c>
      <c r="I23" s="6">
        <v>7.3079999999999998</v>
      </c>
      <c r="J23" s="6">
        <v>4.4260000000000002</v>
      </c>
      <c r="K23" s="6">
        <v>3.8570000000000002</v>
      </c>
      <c r="L23" s="11">
        <v>5.468</v>
      </c>
    </row>
    <row r="24" spans="1:12" x14ac:dyDescent="0.2">
      <c r="A24" s="14" t="s">
        <v>15</v>
      </c>
      <c r="B24" t="s">
        <v>32</v>
      </c>
      <c r="C24" s="15">
        <v>5.0000000000000001E-3</v>
      </c>
      <c r="D24" s="15">
        <v>3.2000000000000001E-2</v>
      </c>
      <c r="E24" s="15">
        <v>0</v>
      </c>
      <c r="F24" s="15">
        <v>1E-3</v>
      </c>
      <c r="G24" s="15">
        <v>1.0999999999999999E-2</v>
      </c>
      <c r="H24" s="15">
        <v>0.19700000000000001</v>
      </c>
      <c r="I24" s="15">
        <v>7.6999999999999999E-2</v>
      </c>
      <c r="J24" s="15">
        <v>0.15</v>
      </c>
      <c r="K24" s="15">
        <v>1.9E-2</v>
      </c>
      <c r="L24" s="16">
        <v>0.22700000000000001</v>
      </c>
    </row>
    <row r="25" spans="1:12" ht="15" customHeight="1" x14ac:dyDescent="0.2">
      <c r="A25" s="12" t="s">
        <v>16</v>
      </c>
      <c r="B25" t="s">
        <v>33</v>
      </c>
      <c r="C25" s="7">
        <v>23.106999999999999</v>
      </c>
      <c r="D25" s="7">
        <v>27.925999999999998</v>
      </c>
      <c r="E25" s="7">
        <v>40.475999999999999</v>
      </c>
      <c r="F25" s="7">
        <v>38.753999999999998</v>
      </c>
      <c r="G25" s="7">
        <v>55.866</v>
      </c>
      <c r="H25" s="7">
        <v>45.131</v>
      </c>
      <c r="I25" s="7">
        <v>34.539000000000001</v>
      </c>
      <c r="J25" s="7">
        <v>36.981999999999999</v>
      </c>
      <c r="K25" s="7">
        <v>28.286000000000001</v>
      </c>
      <c r="L25" s="13">
        <v>35.179000000000002</v>
      </c>
    </row>
    <row r="26" spans="1:12" x14ac:dyDescent="0.2">
      <c r="A26" s="12" t="s">
        <v>17</v>
      </c>
      <c r="B26" t="s">
        <v>34</v>
      </c>
      <c r="C26" s="7">
        <v>340.31200000000001</v>
      </c>
      <c r="D26" s="7">
        <v>349.916</v>
      </c>
      <c r="E26" s="7">
        <v>470.41699999999997</v>
      </c>
      <c r="F26" s="7">
        <v>546.71600000000001</v>
      </c>
      <c r="G26" s="7">
        <v>635.82000000000005</v>
      </c>
      <c r="H26" s="7">
        <v>571.34400000000005</v>
      </c>
      <c r="I26" s="7">
        <v>714.38599999999997</v>
      </c>
      <c r="J26" s="7">
        <v>885.78599999999994</v>
      </c>
      <c r="K26" s="7">
        <v>824.99199999999996</v>
      </c>
      <c r="L26" s="13">
        <v>972.96</v>
      </c>
    </row>
    <row r="27" spans="1:12" x14ac:dyDescent="0.2">
      <c r="A27" s="10" t="s">
        <v>18</v>
      </c>
      <c r="B27" t="s">
        <v>35</v>
      </c>
      <c r="C27" s="6">
        <v>348.291</v>
      </c>
      <c r="D27" s="6">
        <v>298.68200000000002</v>
      </c>
      <c r="E27" s="6">
        <v>437.62200000000001</v>
      </c>
      <c r="F27" s="6">
        <v>407.06599999999997</v>
      </c>
      <c r="G27" s="6">
        <v>405.39</v>
      </c>
      <c r="H27" s="6">
        <v>373.70299999999997</v>
      </c>
      <c r="I27" s="6">
        <v>319.78199999999998</v>
      </c>
      <c r="J27" s="6">
        <v>433.73</v>
      </c>
      <c r="K27" s="6">
        <v>373.06400000000002</v>
      </c>
      <c r="L27" s="11">
        <v>452.185</v>
      </c>
    </row>
    <row r="28" spans="1:12" x14ac:dyDescent="0.2">
      <c r="A28" s="12" t="s">
        <v>19</v>
      </c>
      <c r="B28" t="s">
        <v>36</v>
      </c>
      <c r="C28" s="7">
        <v>11.701000000000001</v>
      </c>
      <c r="D28" s="7">
        <v>15.367000000000001</v>
      </c>
      <c r="E28" s="7">
        <v>23.356999999999999</v>
      </c>
      <c r="F28" s="7">
        <v>21.143999999999998</v>
      </c>
      <c r="G28" s="7">
        <v>30.042000000000002</v>
      </c>
      <c r="H28" s="7">
        <v>36.978999999999999</v>
      </c>
      <c r="I28" s="7">
        <v>48.326000000000001</v>
      </c>
      <c r="J28" s="7">
        <v>40.429000000000002</v>
      </c>
      <c r="K28" s="7">
        <v>21.989000000000001</v>
      </c>
      <c r="L28" s="13">
        <v>37.732999999999997</v>
      </c>
    </row>
    <row r="29" spans="1:12" x14ac:dyDescent="0.2">
      <c r="A29" s="12" t="s">
        <v>20</v>
      </c>
      <c r="B29" t="s">
        <v>37</v>
      </c>
      <c r="C29" s="7">
        <v>18.614000000000001</v>
      </c>
      <c r="D29" s="7">
        <v>7.9640000000000004</v>
      </c>
      <c r="E29" s="7">
        <v>9.9390000000000001</v>
      </c>
      <c r="F29" s="7">
        <v>10.952999999999999</v>
      </c>
      <c r="G29" s="7">
        <v>13.449</v>
      </c>
      <c r="H29" s="7">
        <v>13.848000000000001</v>
      </c>
      <c r="I29" s="7">
        <v>19.513000000000002</v>
      </c>
      <c r="J29" s="7">
        <v>14.170999999999999</v>
      </c>
      <c r="K29" s="7">
        <v>12.044</v>
      </c>
      <c r="L29" s="13">
        <v>15.21</v>
      </c>
    </row>
    <row r="30" spans="1:12" x14ac:dyDescent="0.2">
      <c r="A30" s="10" t="s">
        <v>21</v>
      </c>
      <c r="B30" t="s">
        <v>38</v>
      </c>
      <c r="C30" s="6">
        <v>34360.286</v>
      </c>
      <c r="D30" s="6">
        <v>32858.402999999998</v>
      </c>
      <c r="E30" s="6">
        <v>38311.491000000002</v>
      </c>
      <c r="F30" s="6">
        <v>40063.544999999998</v>
      </c>
      <c r="G30" s="6">
        <v>44707.476000000002</v>
      </c>
      <c r="H30" s="6">
        <v>43102.03</v>
      </c>
      <c r="I30" s="6">
        <v>57516.319000000003</v>
      </c>
      <c r="J30" s="6">
        <v>42171.154000000002</v>
      </c>
      <c r="K30" s="6">
        <v>33456.167000000001</v>
      </c>
      <c r="L30" s="11">
        <v>37345.203000000001</v>
      </c>
    </row>
    <row r="31" spans="1:12" x14ac:dyDescent="0.2">
      <c r="A31" s="17" t="s">
        <v>39</v>
      </c>
      <c r="B31" t="s">
        <v>22</v>
      </c>
      <c r="C31" s="18">
        <f>SUM(C17:C19,C21,C22,C23)</f>
        <v>160.09399999999999</v>
      </c>
      <c r="D31" s="18">
        <f t="shared" ref="D31:L31" si="0">SUM(D17:D19,D21,D22,D23)</f>
        <v>142.667</v>
      </c>
      <c r="E31" s="18">
        <f t="shared" si="0"/>
        <v>249.37699999999998</v>
      </c>
      <c r="F31" s="18">
        <f t="shared" si="0"/>
        <v>223.101</v>
      </c>
      <c r="G31" s="18">
        <f t="shared" si="0"/>
        <v>199.65600000000001</v>
      </c>
      <c r="H31" s="18">
        <f t="shared" si="0"/>
        <v>150.63600000000002</v>
      </c>
      <c r="I31" s="18">
        <f t="shared" si="0"/>
        <v>150.57299999999998</v>
      </c>
      <c r="J31" s="18">
        <f t="shared" si="0"/>
        <v>240.31399999999996</v>
      </c>
      <c r="K31" s="18">
        <f t="shared" si="0"/>
        <v>168.24600000000001</v>
      </c>
      <c r="L31" s="18">
        <f t="shared" si="0"/>
        <v>198.03099999999998</v>
      </c>
    </row>
    <row r="32" spans="1:12" x14ac:dyDescent="0.2">
      <c r="A32" s="17" t="s">
        <v>23</v>
      </c>
      <c r="B32" t="s">
        <v>22</v>
      </c>
      <c r="C32" s="19">
        <f>C31/SUM(C25:C29)</f>
        <v>0.21575283851622246</v>
      </c>
      <c r="D32" s="19">
        <f t="shared" ref="D32:L32" si="1">D31/SUM(D25:D29)</f>
        <v>0.2038522265326389</v>
      </c>
      <c r="E32" s="19">
        <f t="shared" si="1"/>
        <v>0.25399695053324928</v>
      </c>
      <c r="F32" s="19">
        <f t="shared" si="1"/>
        <v>0.21773747283173583</v>
      </c>
      <c r="G32" s="19">
        <f t="shared" si="1"/>
        <v>0.17504977787363654</v>
      </c>
      <c r="H32" s="19">
        <f t="shared" si="1"/>
        <v>0.14470247501212774</v>
      </c>
      <c r="I32" s="19">
        <f t="shared" si="1"/>
        <v>0.13248297913150897</v>
      </c>
      <c r="J32" s="19">
        <f t="shared" si="1"/>
        <v>0.17030284218388797</v>
      </c>
      <c r="K32" s="19">
        <f t="shared" si="1"/>
        <v>0.13348884260636715</v>
      </c>
      <c r="L32" s="19">
        <f t="shared" si="1"/>
        <v>0.13086322506206768</v>
      </c>
    </row>
    <row r="34" spans="1:2" x14ac:dyDescent="0.2">
      <c r="A34" s="20"/>
      <c r="B34" s="20"/>
    </row>
  </sheetData>
  <mergeCells count="2">
    <mergeCell ref="A1:F1"/>
    <mergeCell ref="A2:F2"/>
  </mergeCells>
  <hyperlinks>
    <hyperlink ref="A4" r:id="rId1" display="https://ukrstat.gov.ua/" xr:uid="{86068C7E-3153-4140-8319-8F6F78C098FE}"/>
    <hyperlink ref="A5" r:id="rId2" display="http://comtrade.un.org/" xr:uid="{21EACA44-441F-8E47-8AA9-CDF9C8D7C0A0}"/>
  </hyperlinks>
  <pageMargins left="0.75" right="0.75" top="1" bottom="1" header="0.5" footer="0.5"/>
  <ignoredErrors>
    <ignoredError sqref="C32:L32" formulaRange="1"/>
  </ignoredErrors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Trade_Map_-_List_of_products_ex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cp:lastModifiedBy>Massimo</cp:lastModifiedBy>
  <dcterms:created xsi:type="dcterms:W3CDTF">2026-05-06T11:57:44Z</dcterms:created>
  <dcterms:modified xsi:type="dcterms:W3CDTF">2026-05-06T11:57:44Z</dcterms:modified>
</cp:coreProperties>
</file>